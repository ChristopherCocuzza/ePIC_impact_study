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4"/>
  <workbookPr/>
  <mc:AlternateContent xmlns:mc="http://schemas.openxmlformats.org/markup-compatibility/2006">
    <mc:Choice Requires="x15">
      <x15ac:absPath xmlns:x15ac="http://schemas.microsoft.com/office/spreadsheetml/2010/11/ac" url="/Users/tug83224/Desktop/"/>
    </mc:Choice>
  </mc:AlternateContent>
  <xr:revisionPtr revIDLastSave="0" documentId="13_ncr:1_{4438EC3F-F900-5B41-B5FE-C1222B87C478}" xr6:coauthVersionLast="47" xr6:coauthVersionMax="47" xr10:uidLastSave="{00000000-0000-0000-0000-000000000000}"/>
  <bookViews>
    <workbookView xWindow="0" yWindow="500" windowWidth="30720" windowHeight="16960" tabRatio="500" xr2:uid="{00000000-000D-0000-FFFF-FFFF00000000}"/>
  </bookViews>
  <sheets>
    <sheet name="Sheet1" sheetId="1" r:id="rId1"/>
    <sheet name="g1F1he3_2025_dis" sheetId="3" r:id="rId2"/>
  </sheets>
  <definedNames>
    <definedName name="ExternalData_1" localSheetId="1" hidden="1">g1F1he3_2025_dis!$A$1:$T$17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2" i="1"/>
  <c r="H3" i="1"/>
  <c r="H4" i="1"/>
  <c r="H5" i="1"/>
  <c r="H6" i="1"/>
  <c r="H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9A4FA8-3890-1940-ABE1-E6CA8B7A5126}" keepAlive="1" name="Query - g1F1he3_2025_dis" description="Connection to the 'g1F1he3_2025_dis' query in the workbook." type="5" refreshedVersion="8" background="1" saveData="1">
    <dbPr connection="Provider=Microsoft.Mashup.OleDb.1;Data Source=$Workbook$;Location=g1F1he3_2025_dis;Extended Properties=&quot;&quot;" command="SELECT * FROM [g1F1he3_2025_dis]"/>
  </connection>
</connections>
</file>

<file path=xl/sharedStrings.xml><?xml version="1.0" encoding="utf-8"?>
<sst xmlns="http://schemas.openxmlformats.org/spreadsheetml/2006/main" count="81" uniqueCount="49">
  <si>
    <t>Elab</t>
  </si>
  <si>
    <t>col</t>
  </si>
  <si>
    <t>X</t>
  </si>
  <si>
    <t>Q2</t>
  </si>
  <si>
    <t>obs</t>
  </si>
  <si>
    <t>target</t>
  </si>
  <si>
    <t>value</t>
  </si>
  <si>
    <t>stat_u</t>
  </si>
  <si>
    <t>syst_u</t>
  </si>
  <si>
    <t>Column1</t>
  </si>
  <si>
    <t>Ep</t>
  </si>
  <si>
    <t>xbj</t>
  </si>
  <si>
    <t>Apar</t>
  </si>
  <si>
    <t>(stat)</t>
  </si>
  <si>
    <t>(syst)</t>
  </si>
  <si>
    <t>Aperp</t>
  </si>
  <si>
    <t>(stat)_1</t>
  </si>
  <si>
    <t>(syst)_2</t>
  </si>
  <si>
    <t>vpar</t>
  </si>
  <si>
    <t>vperp</t>
  </si>
  <si>
    <t>g1/F1_He3</t>
  </si>
  <si>
    <t>(stat)_3</t>
  </si>
  <si>
    <t>(syst)_4</t>
  </si>
  <si>
    <t>vpar2</t>
  </si>
  <si>
    <t>vperp2</t>
  </si>
  <si>
    <t>g2/F1_He3</t>
  </si>
  <si>
    <t>(stat)_5</t>
  </si>
  <si>
    <t>(syst)_6</t>
  </si>
  <si>
    <t/>
  </si>
  <si>
    <t>      Ep  </t>
  </si>
  <si>
    <t>   xbj   </t>
  </si>
  <si>
    <t>   Q2 </t>
  </si>
  <si>
    <t>    Apar  </t>
  </si>
  <si>
    <t> (stat)  </t>
  </si>
  <si>
    <t> (syst) </t>
  </si>
  <si>
    <t>   Aperp  </t>
  </si>
  <si>
    <t> (syst)  </t>
  </si>
  <si>
    <t>  vpar  </t>
  </si>
  <si>
    <t> vperp </t>
  </si>
  <si>
    <t>g1/F1_He3 </t>
  </si>
  <si>
    <t>  vpar2  </t>
  </si>
  <si>
    <t>vperp2 </t>
  </si>
  <si>
    <t>g2/F1_He3 </t>
  </si>
  <si>
    <t> (syst)</t>
  </si>
  <si>
    <t>p</t>
  </si>
  <si>
    <t>ePIC</t>
  </si>
  <si>
    <t>A1</t>
  </si>
  <si>
    <t>norm_c</t>
  </si>
  <si>
    <t>syst_c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</si>
</sst>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name val="Arial"/>
      <family val="2"/>
    </font>
    <font>
      <sz val="10"/>
      <color theme="1"/>
      <name val="Arial"/>
      <family val="2"/>
      <charset val="1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8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/>
    </xf>
    <xf numFmtId="0" fontId="3" fillId="2" borderId="1" xfId="0" applyFont="1" applyFill="1" applyBorder="1"/>
    <xf numFmtId="0" fontId="5" fillId="0" borderId="0" xfId="0" applyFont="1"/>
    <xf numFmtId="0" fontId="4" fillId="0" borderId="0" xfId="0" applyFont="1"/>
  </cellXfs>
  <cellStyles count="1">
    <cellStyle name="Normal" xfId="0" builtinId="0"/>
  </cellStyles>
  <dxfs count="1">
    <dxf>
      <numFmt numFmtId="0" formatCode="General"/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E7582CD-0CBD-034F-8D9D-FFD4C5742631}" autoFormatId="16" applyNumberFormats="0" applyBorderFormats="0" applyFontFormats="0" applyPatternFormats="0" applyAlignmentFormats="0" applyWidthHeightFormats="0">
  <queryTableRefresh nextId="21">
    <queryTableFields count="20">
      <queryTableField id="1" name="Column1" tableColumnId="1"/>
      <queryTableField id="2" name="Ep" tableColumnId="2"/>
      <queryTableField id="3" name="xbj" tableColumnId="3"/>
      <queryTableField id="4" name="Q2" tableColumnId="4"/>
      <queryTableField id="5" name="Apar" tableColumnId="5"/>
      <queryTableField id="6" name="(stat)" tableColumnId="6"/>
      <queryTableField id="7" name="(syst)" tableColumnId="7"/>
      <queryTableField id="8" name="Aperp" tableColumnId="8"/>
      <queryTableField id="9" name="(stat)_1" tableColumnId="9"/>
      <queryTableField id="10" name="(syst)_2" tableColumnId="10"/>
      <queryTableField id="11" name="vpar" tableColumnId="11"/>
      <queryTableField id="12" name="vperp" tableColumnId="12"/>
      <queryTableField id="13" name="g1/F1_He3" tableColumnId="13"/>
      <queryTableField id="14" name="(stat)_3" tableColumnId="14"/>
      <queryTableField id="15" name="(syst)_4" tableColumnId="15"/>
      <queryTableField id="16" name="vpar2" tableColumnId="16"/>
      <queryTableField id="17" name="vperp2" tableColumnId="17"/>
      <queryTableField id="18" name="g2/F1_He3" tableColumnId="18"/>
      <queryTableField id="19" name="(stat)_5" tableColumnId="19"/>
      <queryTableField id="20" name="(syst)_6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D2068C-183E-7449-A222-59B52FF3CE72}" name="g1F1he3_2025_dis" displayName="g1F1he3_2025_dis" ref="A1:T17" tableType="queryTable" totalsRowShown="0">
  <autoFilter ref="A1:T17" xr:uid="{D6D2068C-183E-7449-A222-59B52FF3CE72}"/>
  <tableColumns count="20">
    <tableColumn id="1" xr3:uid="{BA8FE745-71C6-CF45-BB5B-AF96EBDBAEB2}" uniqueName="1" name="Column1" queryTableFieldId="1" dataDxfId="0"/>
    <tableColumn id="2" xr3:uid="{A132246A-EE70-B84A-BC51-13FBF6B4E97D}" uniqueName="2" name="Ep" queryTableFieldId="2"/>
    <tableColumn id="3" xr3:uid="{35C2264A-CDD2-3740-B697-ED9012EF62E7}" uniqueName="3" name="xbj" queryTableFieldId="3"/>
    <tableColumn id="4" xr3:uid="{092A1B5B-1169-5D42-9F30-35A599C0C23A}" uniqueName="4" name="Q2" queryTableFieldId="4"/>
    <tableColumn id="5" xr3:uid="{AAD7C671-D1FA-554B-88D4-024C3D056020}" uniqueName="5" name="Apar" queryTableFieldId="5"/>
    <tableColumn id="6" xr3:uid="{7C5E4C77-17E0-5541-83F9-0C25AFBDC60D}" uniqueName="6" name="(stat)" queryTableFieldId="6"/>
    <tableColumn id="7" xr3:uid="{DF815173-F19B-6646-BAEB-0914CB9FE9B6}" uniqueName="7" name="(syst)" queryTableFieldId="7"/>
    <tableColumn id="8" xr3:uid="{CFA011E8-84DE-9647-834D-AB0DCC9DBDA8}" uniqueName="8" name="Aperp" queryTableFieldId="8"/>
    <tableColumn id="9" xr3:uid="{429A5671-E967-E045-ACB8-47EA4C73DDA7}" uniqueName="9" name="(stat)_1" queryTableFieldId="9"/>
    <tableColumn id="10" xr3:uid="{88DAC3FB-C5BD-9A41-A110-C0667CF7939B}" uniqueName="10" name="(syst)_2" queryTableFieldId="10"/>
    <tableColumn id="11" xr3:uid="{4290920C-391D-4144-B28A-E91F78E11795}" uniqueName="11" name="vpar" queryTableFieldId="11"/>
    <tableColumn id="12" xr3:uid="{5C5007B4-6AA8-C241-BABB-633D1ACCBCCC}" uniqueName="12" name="vperp" queryTableFieldId="12"/>
    <tableColumn id="13" xr3:uid="{9FC5B095-099C-1B4D-87AC-D1239441C6EF}" uniqueName="13" name="g1/F1_He3" queryTableFieldId="13"/>
    <tableColumn id="14" xr3:uid="{098538B8-A6AB-A449-A71F-2A308E5907FB}" uniqueName="14" name="(stat)_3" queryTableFieldId="14"/>
    <tableColumn id="15" xr3:uid="{EBB38508-947F-EF44-B390-CD3B8F7F4B0D}" uniqueName="15" name="(syst)_4" queryTableFieldId="15"/>
    <tableColumn id="16" xr3:uid="{1A4E7B89-CEBE-4D44-BEBE-9B0C2FFEEC63}" uniqueName="16" name="vpar2" queryTableFieldId="16"/>
    <tableColumn id="17" xr3:uid="{F5CF7E3F-417B-BF43-8650-24F3300C8CAB}" uniqueName="17" name="vperp2" queryTableFieldId="17"/>
    <tableColumn id="18" xr3:uid="{6CD1D83A-3216-5A49-9071-CC873FAD4B03}" uniqueName="18" name="g2/F1_He3" queryTableFieldId="18"/>
    <tableColumn id="19" xr3:uid="{315E65D3-0DE3-BC45-8AAB-EA2D709691F1}" uniqueName="19" name="(stat)_5" queryTableFieldId="19"/>
    <tableColumn id="20" xr3:uid="{C72B6A4C-35A8-304F-A3C8-E58D5F5BA272}" uniqueName="20" name="(syst)_6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E17"/>
  <sheetViews>
    <sheetView tabSelected="1" zoomScale="120" zoomScaleNormal="120" zoomScalePageLayoutView="120" workbookViewId="0">
      <selection activeCell="L18" sqref="L18"/>
    </sheetView>
  </sheetViews>
  <sheetFormatPr baseColWidth="10" defaultColWidth="8.83203125" defaultRowHeight="13" x14ac:dyDescent="0.15"/>
  <cols>
    <col min="1" max="1" width="8.83203125" style="1"/>
    <col min="2" max="2" width="11.5" style="1" customWidth="1"/>
    <col min="3" max="9" width="8.83203125" style="1"/>
    <col min="10" max="10" width="10.1640625" style="1" customWidth="1"/>
    <col min="11" max="1019" width="8.83203125" style="1"/>
  </cols>
  <sheetData>
    <row r="1" spans="1:11" ht="13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4</v>
      </c>
      <c r="G1" s="2" t="s">
        <v>6</v>
      </c>
      <c r="H1" s="2" t="s">
        <v>7</v>
      </c>
      <c r="I1" s="2" t="s">
        <v>8</v>
      </c>
      <c r="J1" s="4" t="s">
        <v>48</v>
      </c>
      <c r="K1" s="4" t="s">
        <v>47</v>
      </c>
    </row>
    <row r="2" spans="1:11" ht="13" customHeight="1" x14ac:dyDescent="0.15">
      <c r="A2" s="5">
        <v>11</v>
      </c>
      <c r="B2" s="3" t="s">
        <v>45</v>
      </c>
      <c r="C2" s="7">
        <v>0.1</v>
      </c>
      <c r="D2" s="7">
        <v>5</v>
      </c>
      <c r="E2" s="3" t="s">
        <v>44</v>
      </c>
      <c r="F2" s="3" t="s">
        <v>46</v>
      </c>
      <c r="G2" s="7">
        <v>0.1</v>
      </c>
      <c r="H2" s="7">
        <f>G2*0.1</f>
        <v>1.0000000000000002E-2</v>
      </c>
      <c r="I2" s="7">
        <v>0.02</v>
      </c>
      <c r="J2" s="7">
        <v>0.01</v>
      </c>
      <c r="K2" s="1">
        <f>G2*0.03</f>
        <v>3.0000000000000001E-3</v>
      </c>
    </row>
    <row r="3" spans="1:11" ht="13" customHeight="1" x14ac:dyDescent="0.15">
      <c r="A3" s="5">
        <v>11</v>
      </c>
      <c r="B3" s="3" t="s">
        <v>45</v>
      </c>
      <c r="C3" s="7">
        <v>0.2</v>
      </c>
      <c r="D3" s="7">
        <v>6</v>
      </c>
      <c r="E3" s="3" t="s">
        <v>44</v>
      </c>
      <c r="F3" s="3" t="s">
        <v>46</v>
      </c>
      <c r="G3" s="7">
        <v>0.2</v>
      </c>
      <c r="H3" s="7">
        <f t="shared" ref="H3:H6" si="0">G3*0.1</f>
        <v>2.0000000000000004E-2</v>
      </c>
      <c r="I3" s="7">
        <v>0.02</v>
      </c>
      <c r="J3" s="7">
        <v>0.01</v>
      </c>
      <c r="K3" s="1">
        <f t="shared" ref="K3:K6" si="1">G3*0.03</f>
        <v>6.0000000000000001E-3</v>
      </c>
    </row>
    <row r="4" spans="1:11" ht="13" customHeight="1" x14ac:dyDescent="0.15">
      <c r="A4" s="5">
        <v>11</v>
      </c>
      <c r="B4" s="3" t="s">
        <v>45</v>
      </c>
      <c r="C4" s="7">
        <v>0.3</v>
      </c>
      <c r="D4" s="7">
        <v>7</v>
      </c>
      <c r="E4" s="3" t="s">
        <v>44</v>
      </c>
      <c r="F4" s="3" t="s">
        <v>46</v>
      </c>
      <c r="G4" s="7">
        <v>0.3</v>
      </c>
      <c r="H4" s="7">
        <f t="shared" si="0"/>
        <v>0.03</v>
      </c>
      <c r="I4" s="7">
        <v>0.02</v>
      </c>
      <c r="J4" s="7">
        <v>0.01</v>
      </c>
      <c r="K4" s="1">
        <f t="shared" si="1"/>
        <v>8.9999999999999993E-3</v>
      </c>
    </row>
    <row r="5" spans="1:11" ht="13" customHeight="1" x14ac:dyDescent="0.15">
      <c r="A5" s="5">
        <v>11</v>
      </c>
      <c r="B5" s="3" t="s">
        <v>45</v>
      </c>
      <c r="C5" s="7">
        <v>0.4</v>
      </c>
      <c r="D5" s="7">
        <v>8</v>
      </c>
      <c r="E5" s="3" t="s">
        <v>44</v>
      </c>
      <c r="F5" s="3" t="s">
        <v>46</v>
      </c>
      <c r="G5" s="7">
        <v>0.4</v>
      </c>
      <c r="H5" s="7">
        <f t="shared" si="0"/>
        <v>4.0000000000000008E-2</v>
      </c>
      <c r="I5" s="7">
        <v>0.02</v>
      </c>
      <c r="J5" s="7">
        <v>0.01</v>
      </c>
      <c r="K5" s="1">
        <f t="shared" si="1"/>
        <v>1.2E-2</v>
      </c>
    </row>
    <row r="6" spans="1:11" ht="13" customHeight="1" x14ac:dyDescent="0.15">
      <c r="A6" s="5">
        <v>11</v>
      </c>
      <c r="B6" s="3" t="s">
        <v>45</v>
      </c>
      <c r="C6" s="7">
        <v>0.5</v>
      </c>
      <c r="D6" s="7">
        <v>9</v>
      </c>
      <c r="E6" s="3" t="s">
        <v>44</v>
      </c>
      <c r="F6" s="3" t="s">
        <v>46</v>
      </c>
      <c r="G6" s="7">
        <v>0.5</v>
      </c>
      <c r="H6" s="7">
        <f t="shared" si="0"/>
        <v>0.05</v>
      </c>
      <c r="I6" s="7">
        <v>0.02</v>
      </c>
      <c r="J6" s="7">
        <v>0.01</v>
      </c>
      <c r="K6" s="1">
        <f t="shared" si="1"/>
        <v>1.4999999999999999E-2</v>
      </c>
    </row>
    <row r="7" spans="1:11" ht="13" customHeight="1" x14ac:dyDescent="0.15">
      <c r="A7" s="5"/>
      <c r="B7" s="3"/>
      <c r="C7" s="7"/>
      <c r="D7" s="7"/>
      <c r="E7" s="3"/>
      <c r="F7" s="3"/>
      <c r="G7" s="7"/>
      <c r="H7" s="7"/>
      <c r="I7" s="7"/>
      <c r="J7" s="7"/>
    </row>
    <row r="8" spans="1:11" ht="13" customHeight="1" x14ac:dyDescent="0.15">
      <c r="A8" s="5"/>
      <c r="B8" s="3"/>
      <c r="C8" s="7"/>
      <c r="D8" s="7"/>
      <c r="E8" s="3"/>
      <c r="F8" s="3"/>
      <c r="G8" s="7"/>
      <c r="H8" s="7"/>
      <c r="I8" s="7"/>
      <c r="J8" s="7"/>
    </row>
    <row r="9" spans="1:11" ht="13" customHeight="1" x14ac:dyDescent="0.15">
      <c r="A9" s="5"/>
      <c r="B9" s="3"/>
      <c r="C9" s="7"/>
      <c r="D9" s="7"/>
      <c r="E9" s="3"/>
      <c r="F9" s="3"/>
      <c r="G9" s="7"/>
      <c r="H9" s="7"/>
      <c r="I9" s="7"/>
      <c r="J9" s="7"/>
    </row>
    <row r="10" spans="1:11" ht="13" customHeight="1" x14ac:dyDescent="0.15">
      <c r="A10" s="5"/>
      <c r="B10" s="3"/>
      <c r="C10" s="7"/>
      <c r="D10" s="7"/>
      <c r="E10" s="3"/>
      <c r="F10" s="3"/>
      <c r="G10" s="7"/>
      <c r="H10" s="7"/>
      <c r="I10" s="7"/>
      <c r="J10" s="7"/>
    </row>
    <row r="11" spans="1:11" ht="13" customHeight="1" x14ac:dyDescent="0.15">
      <c r="A11" s="5"/>
      <c r="B11" s="3"/>
      <c r="C11" s="7"/>
      <c r="D11" s="7"/>
      <c r="E11" s="3"/>
      <c r="F11" s="3"/>
      <c r="G11" s="7"/>
      <c r="H11" s="7"/>
      <c r="I11" s="7"/>
      <c r="J11" s="7"/>
    </row>
    <row r="12" spans="1:11" ht="13" customHeight="1" x14ac:dyDescent="0.15">
      <c r="A12" s="5"/>
      <c r="B12" s="3"/>
      <c r="C12" s="7"/>
      <c r="D12" s="7"/>
      <c r="E12" s="3"/>
      <c r="F12" s="3"/>
      <c r="G12" s="7"/>
      <c r="H12" s="7"/>
      <c r="I12" s="7"/>
      <c r="J12" s="7"/>
    </row>
    <row r="13" spans="1:11" ht="13" customHeight="1" x14ac:dyDescent="0.15">
      <c r="A13" s="5"/>
      <c r="B13" s="3"/>
      <c r="C13" s="7"/>
      <c r="D13" s="7"/>
      <c r="E13" s="3"/>
      <c r="F13" s="3"/>
      <c r="G13" s="7"/>
      <c r="H13" s="7"/>
      <c r="I13" s="7"/>
      <c r="J13" s="7"/>
    </row>
    <row r="14" spans="1:11" ht="13" customHeight="1" x14ac:dyDescent="0.15">
      <c r="A14" s="5"/>
      <c r="B14" s="3"/>
      <c r="C14" s="7"/>
      <c r="D14" s="7"/>
      <c r="E14" s="3"/>
      <c r="F14" s="3"/>
      <c r="G14" s="7"/>
      <c r="H14" s="7"/>
      <c r="I14" s="7"/>
      <c r="J14" s="7"/>
    </row>
    <row r="15" spans="1:11" ht="13" customHeight="1" x14ac:dyDescent="0.15">
      <c r="A15" s="5"/>
      <c r="B15" s="3"/>
      <c r="C15" s="7"/>
      <c r="D15" s="7"/>
      <c r="E15" s="3"/>
      <c r="F15" s="3"/>
      <c r="G15" s="7"/>
      <c r="H15" s="7"/>
      <c r="I15" s="7"/>
      <c r="J15" s="7"/>
    </row>
    <row r="16" spans="1:11" ht="13" customHeight="1" x14ac:dyDescent="0.15">
      <c r="A16" s="5"/>
      <c r="B16" s="3"/>
      <c r="C16" s="3"/>
      <c r="D16" s="3"/>
      <c r="E16" s="3"/>
      <c r="F16" s="3"/>
      <c r="G16" s="3"/>
      <c r="H16" s="3"/>
      <c r="I16" s="3"/>
    </row>
    <row r="17" spans="1:6" x14ac:dyDescent="0.15">
      <c r="A17" s="5"/>
      <c r="B17" s="3"/>
      <c r="E17" s="3"/>
      <c r="F17" s="3"/>
    </row>
  </sheetData>
  <phoneticPr fontId="6" type="noConversion"/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B4710-673B-6241-86C8-5920D163D090}">
  <dimension ref="A1:T33"/>
  <sheetViews>
    <sheetView workbookViewId="0">
      <selection activeCell="C20" sqref="C20:C33"/>
    </sheetView>
  </sheetViews>
  <sheetFormatPr baseColWidth="10" defaultRowHeight="13" x14ac:dyDescent="0.15"/>
  <cols>
    <col min="2" max="2" width="5.83203125" bestFit="1" customWidth="1"/>
    <col min="3" max="3" width="7.1640625" bestFit="1" customWidth="1"/>
    <col min="4" max="4" width="6.1640625" bestFit="1" customWidth="1"/>
    <col min="5" max="5" width="8.6640625" bestFit="1" customWidth="1"/>
    <col min="6" max="7" width="8.1640625" bestFit="1" customWidth="1"/>
    <col min="8" max="8" width="8.6640625" bestFit="1" customWidth="1"/>
    <col min="9" max="9" width="9.6640625" bestFit="1" customWidth="1"/>
    <col min="10" max="10" width="10.1640625" bestFit="1" customWidth="1"/>
    <col min="11" max="11" width="7.33203125" bestFit="1" customWidth="1"/>
    <col min="12" max="12" width="8.33203125" bestFit="1" customWidth="1"/>
    <col min="13" max="13" width="12.33203125" bestFit="1" customWidth="1"/>
    <col min="14" max="14" width="9.6640625" bestFit="1" customWidth="1"/>
    <col min="15" max="15" width="10.1640625" bestFit="1" customWidth="1"/>
    <col min="16" max="16" width="8.33203125" bestFit="1" customWidth="1"/>
    <col min="17" max="17" width="9.33203125" bestFit="1" customWidth="1"/>
    <col min="18" max="18" width="12.33203125" bestFit="1" customWidth="1"/>
    <col min="19" max="19" width="9.6640625" bestFit="1" customWidth="1"/>
    <col min="20" max="20" width="10.1640625" bestFit="1" customWidth="1"/>
  </cols>
  <sheetData>
    <row r="1" spans="1:20" x14ac:dyDescent="0.15">
      <c r="A1" t="s">
        <v>9</v>
      </c>
      <c r="B1" t="s">
        <v>10</v>
      </c>
      <c r="C1" t="s">
        <v>11</v>
      </c>
      <c r="D1" t="s">
        <v>3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</row>
    <row r="2" spans="1:20" x14ac:dyDescent="0.15">
      <c r="A2" t="s">
        <v>28</v>
      </c>
      <c r="B2">
        <v>2.34</v>
      </c>
      <c r="C2">
        <v>0.4249</v>
      </c>
      <c r="D2">
        <v>6.4130000000000003</v>
      </c>
      <c r="E2">
        <v>-8.3499999999999998E-3</v>
      </c>
      <c r="F2">
        <v>7.11E-3</v>
      </c>
      <c r="G2">
        <v>1.2700000000000001E-3</v>
      </c>
      <c r="H2">
        <v>-2.3179999999999999E-2</v>
      </c>
      <c r="I2">
        <v>1.754E-2</v>
      </c>
      <c r="J2">
        <v>1.6299999999999999E-3</v>
      </c>
      <c r="K2">
        <v>1.0758000000000001</v>
      </c>
      <c r="L2">
        <v>0.28589999999999999</v>
      </c>
      <c r="M2">
        <v>-1.5610000000000001E-2</v>
      </c>
      <c r="N2">
        <v>9.1500000000000001E-3</v>
      </c>
      <c r="O2">
        <v>1.4400000000000001E-3</v>
      </c>
      <c r="P2">
        <v>-0.41670000000000001</v>
      </c>
      <c r="Q2">
        <v>4.4532999999999996</v>
      </c>
      <c r="R2">
        <v>-9.9739999999999995E-2</v>
      </c>
      <c r="S2">
        <v>7.8189999999999996E-2</v>
      </c>
      <c r="T2">
        <v>7.28E-3</v>
      </c>
    </row>
    <row r="3" spans="1:20" x14ac:dyDescent="0.15">
      <c r="A3" t="s">
        <v>28</v>
      </c>
      <c r="B3">
        <v>2.4</v>
      </c>
      <c r="C3">
        <v>0.4385</v>
      </c>
      <c r="D3">
        <v>6.5709999999999997</v>
      </c>
      <c r="E3">
        <v>-4.3699999999999998E-3</v>
      </c>
      <c r="F3">
        <v>3.0000000000000001E-3</v>
      </c>
      <c r="G3">
        <v>1.56E-3</v>
      </c>
      <c r="H3">
        <v>9.6500000000000006E-3</v>
      </c>
      <c r="I3">
        <v>7.2899999999999996E-3</v>
      </c>
      <c r="J3">
        <v>1.16E-3</v>
      </c>
      <c r="K3">
        <v>1.0775999999999999</v>
      </c>
      <c r="L3">
        <v>0.28639999999999999</v>
      </c>
      <c r="M3">
        <v>-1.9400000000000001E-3</v>
      </c>
      <c r="N3">
        <v>3.8500000000000001E-3</v>
      </c>
      <c r="O3">
        <v>1.7099999999999999E-3</v>
      </c>
      <c r="P3">
        <v>-0.4143</v>
      </c>
      <c r="Q3">
        <v>4.3357000000000001</v>
      </c>
      <c r="R3">
        <v>4.367E-2</v>
      </c>
      <c r="S3">
        <v>3.1620000000000002E-2</v>
      </c>
      <c r="T3">
        <v>5.0499999999999998E-3</v>
      </c>
    </row>
    <row r="4" spans="1:20" x14ac:dyDescent="0.15">
      <c r="A4" t="s">
        <v>28</v>
      </c>
      <c r="B4">
        <v>2.5</v>
      </c>
      <c r="C4">
        <v>0.46379999999999999</v>
      </c>
      <c r="D4">
        <v>6.8630000000000004</v>
      </c>
      <c r="E4">
        <v>-6.3400000000000001E-3</v>
      </c>
      <c r="F4">
        <v>3.2599999999999999E-3</v>
      </c>
      <c r="G4">
        <v>1.6000000000000001E-3</v>
      </c>
      <c r="H4">
        <v>2.1199999999999999E-3</v>
      </c>
      <c r="I4">
        <v>7.8700000000000003E-3</v>
      </c>
      <c r="J4">
        <v>1.1900000000000001E-3</v>
      </c>
      <c r="K4">
        <v>1.0811999999999999</v>
      </c>
      <c r="L4">
        <v>0.28770000000000001</v>
      </c>
      <c r="M4">
        <v>-6.2500000000000003E-3</v>
      </c>
      <c r="N4">
        <v>4.1900000000000001E-3</v>
      </c>
      <c r="O4">
        <v>1.7600000000000001E-3</v>
      </c>
      <c r="P4">
        <v>-0.41049999999999998</v>
      </c>
      <c r="Q4">
        <v>4.1475</v>
      </c>
      <c r="R4">
        <v>1.14E-2</v>
      </c>
      <c r="S4">
        <v>3.2649999999999998E-2</v>
      </c>
      <c r="T4">
        <v>4.9699999999999996E-3</v>
      </c>
    </row>
    <row r="5" spans="1:20" x14ac:dyDescent="0.15">
      <c r="A5" t="s">
        <v>28</v>
      </c>
      <c r="B5">
        <v>2.6</v>
      </c>
      <c r="C5">
        <v>0.49070000000000003</v>
      </c>
      <c r="D5">
        <v>7.1680000000000001</v>
      </c>
      <c r="E5">
        <v>3.0999999999999999E-3</v>
      </c>
      <c r="F5">
        <v>3.5599999999999998E-3</v>
      </c>
      <c r="G5">
        <v>1.64E-3</v>
      </c>
      <c r="H5">
        <v>-1.256E-2</v>
      </c>
      <c r="I5">
        <v>8.6400000000000001E-3</v>
      </c>
      <c r="J5">
        <v>1.6800000000000001E-3</v>
      </c>
      <c r="K5">
        <v>1.0847</v>
      </c>
      <c r="L5">
        <v>0.2893</v>
      </c>
      <c r="M5">
        <v>-2.7999999999999998E-4</v>
      </c>
      <c r="N5">
        <v>4.5999999999999999E-3</v>
      </c>
      <c r="O5">
        <v>1.8500000000000001E-3</v>
      </c>
      <c r="P5">
        <v>-0.40660000000000002</v>
      </c>
      <c r="Q5">
        <v>3.9691000000000001</v>
      </c>
      <c r="R5">
        <v>-5.1110000000000003E-2</v>
      </c>
      <c r="S5">
        <v>3.4340000000000002E-2</v>
      </c>
      <c r="T5">
        <v>6.7000000000000002E-3</v>
      </c>
    </row>
    <row r="6" spans="1:20" x14ac:dyDescent="0.15">
      <c r="A6" t="s">
        <v>28</v>
      </c>
      <c r="B6">
        <v>2.7</v>
      </c>
      <c r="C6">
        <v>0.5111</v>
      </c>
      <c r="D6">
        <v>7.367</v>
      </c>
      <c r="E6">
        <v>-3.6900000000000001E-3</v>
      </c>
      <c r="F6">
        <v>2.4199999999999998E-3</v>
      </c>
      <c r="G6">
        <v>1.2099999999999999E-3</v>
      </c>
      <c r="H6">
        <v>-2.3000000000000001E-4</v>
      </c>
      <c r="I6">
        <v>6.2599999999999999E-3</v>
      </c>
      <c r="J6">
        <v>2.8500000000000001E-3</v>
      </c>
      <c r="K6">
        <v>1.0912999999999999</v>
      </c>
      <c r="L6">
        <v>0.2893</v>
      </c>
      <c r="M6">
        <v>-4.0899999999999999E-3</v>
      </c>
      <c r="N6">
        <v>3.2100000000000002E-3</v>
      </c>
      <c r="O6">
        <v>1.5499999999999999E-3</v>
      </c>
      <c r="P6">
        <v>-0.40379999999999999</v>
      </c>
      <c r="Q6">
        <v>3.8437000000000001</v>
      </c>
      <c r="R6">
        <v>6.2E-4</v>
      </c>
      <c r="S6">
        <v>2.41E-2</v>
      </c>
      <c r="T6">
        <v>1.095E-2</v>
      </c>
    </row>
    <row r="7" spans="1:20" x14ac:dyDescent="0.15">
      <c r="A7" t="s">
        <v>28</v>
      </c>
      <c r="B7">
        <v>2.8</v>
      </c>
      <c r="C7">
        <v>0.53520000000000001</v>
      </c>
      <c r="D7">
        <v>7.6180000000000003</v>
      </c>
      <c r="E7">
        <v>-2.8300000000000001E-3</v>
      </c>
      <c r="F7">
        <v>2.6199999999999999E-3</v>
      </c>
      <c r="G7">
        <v>1.09E-3</v>
      </c>
      <c r="H7">
        <v>8.8100000000000001E-3</v>
      </c>
      <c r="I7">
        <v>6.6600000000000001E-3</v>
      </c>
      <c r="J7">
        <v>2.8500000000000001E-3</v>
      </c>
      <c r="K7">
        <v>1.0951</v>
      </c>
      <c r="L7">
        <v>0.28999999999999998</v>
      </c>
      <c r="M7">
        <v>-5.5000000000000003E-4</v>
      </c>
      <c r="N7">
        <v>3.46E-3</v>
      </c>
      <c r="O7">
        <v>1.4599999999999999E-3</v>
      </c>
      <c r="P7">
        <v>-0.39989999999999998</v>
      </c>
      <c r="Q7">
        <v>3.6993</v>
      </c>
      <c r="R7">
        <v>3.3709999999999997E-2</v>
      </c>
      <c r="S7">
        <v>2.4649999999999998E-2</v>
      </c>
      <c r="T7">
        <v>1.055E-2</v>
      </c>
    </row>
    <row r="8" spans="1:20" x14ac:dyDescent="0.15">
      <c r="A8" t="s">
        <v>28</v>
      </c>
      <c r="B8">
        <v>2.9</v>
      </c>
      <c r="C8">
        <v>0.5605</v>
      </c>
      <c r="D8">
        <v>7.8730000000000002</v>
      </c>
      <c r="E8">
        <v>4.2599999999999999E-3</v>
      </c>
      <c r="F8">
        <v>2.8500000000000001E-3</v>
      </c>
      <c r="G8">
        <v>1.06E-3</v>
      </c>
      <c r="H8">
        <v>-8.0499999999999999E-3</v>
      </c>
      <c r="I8">
        <v>7.4599999999999996E-3</v>
      </c>
      <c r="J8">
        <v>3.3400000000000001E-3</v>
      </c>
      <c r="K8">
        <v>1.0999000000000001</v>
      </c>
      <c r="L8">
        <v>0.29099999999999998</v>
      </c>
      <c r="M8">
        <v>2.3400000000000001E-3</v>
      </c>
      <c r="N8">
        <v>3.81E-3</v>
      </c>
      <c r="O8">
        <v>1.5100000000000001E-3</v>
      </c>
      <c r="P8">
        <v>-0.39639999999999997</v>
      </c>
      <c r="Q8">
        <v>3.5676000000000001</v>
      </c>
      <c r="R8">
        <v>-3.0419999999999999E-2</v>
      </c>
      <c r="S8">
        <v>2.664E-2</v>
      </c>
      <c r="T8">
        <v>1.1939999999999999E-2</v>
      </c>
    </row>
    <row r="9" spans="1:20" x14ac:dyDescent="0.15">
      <c r="A9" t="s">
        <v>28</v>
      </c>
      <c r="B9">
        <v>3</v>
      </c>
      <c r="C9">
        <v>0.58720000000000006</v>
      </c>
      <c r="D9">
        <v>8.1379999999999999</v>
      </c>
      <c r="E9">
        <v>-3.62E-3</v>
      </c>
      <c r="F9">
        <v>3.2699999999999999E-3</v>
      </c>
      <c r="G9">
        <v>1.1900000000000001E-3</v>
      </c>
      <c r="H9">
        <v>-3.0699999999999998E-3</v>
      </c>
      <c r="I9">
        <v>8.3400000000000002E-3</v>
      </c>
      <c r="J9">
        <v>5.13E-3</v>
      </c>
      <c r="K9">
        <v>1.1045</v>
      </c>
      <c r="L9">
        <v>0.29210000000000003</v>
      </c>
      <c r="M9">
        <v>-4.8900000000000002E-3</v>
      </c>
      <c r="N9">
        <v>4.3600000000000002E-3</v>
      </c>
      <c r="O9">
        <v>1.99E-3</v>
      </c>
      <c r="P9">
        <v>-0.39269999999999999</v>
      </c>
      <c r="Q9">
        <v>3.4405999999999999</v>
      </c>
      <c r="R9">
        <v>-9.1500000000000001E-3</v>
      </c>
      <c r="S9">
        <v>2.8740000000000002E-2</v>
      </c>
      <c r="T9">
        <v>1.7639999999999999E-2</v>
      </c>
    </row>
    <row r="10" spans="1:20" x14ac:dyDescent="0.15">
      <c r="A10" t="s">
        <v>28</v>
      </c>
      <c r="B10">
        <v>3.1</v>
      </c>
      <c r="C10">
        <v>0.61560000000000004</v>
      </c>
      <c r="D10">
        <v>8.4179999999999993</v>
      </c>
      <c r="E10">
        <v>1.1800000000000001E-3</v>
      </c>
      <c r="F10">
        <v>1.89E-3</v>
      </c>
      <c r="G10">
        <v>8.8999999999999995E-4</v>
      </c>
      <c r="H10">
        <v>4.2700000000000004E-3</v>
      </c>
      <c r="I10">
        <v>4.7999999999999996E-3</v>
      </c>
      <c r="J10">
        <v>3.0000000000000001E-3</v>
      </c>
      <c r="K10">
        <v>1.1092</v>
      </c>
      <c r="L10">
        <v>0.29349999999999998</v>
      </c>
      <c r="M10">
        <v>2.5699999999999998E-3</v>
      </c>
      <c r="N10">
        <v>2.5200000000000001E-3</v>
      </c>
      <c r="O10">
        <v>1.32E-3</v>
      </c>
      <c r="P10">
        <v>-0.3891</v>
      </c>
      <c r="Q10">
        <v>3.3189000000000002</v>
      </c>
      <c r="R10">
        <v>1.3729999999999999E-2</v>
      </c>
      <c r="S10">
        <v>1.5939999999999999E-2</v>
      </c>
      <c r="T10">
        <v>9.9799999999999993E-3</v>
      </c>
    </row>
    <row r="11" spans="1:20" x14ac:dyDescent="0.15">
      <c r="A11" t="s">
        <v>28</v>
      </c>
      <c r="B11">
        <v>3.2</v>
      </c>
      <c r="C11">
        <v>0.64410000000000001</v>
      </c>
      <c r="D11">
        <v>8.6739999999999995</v>
      </c>
      <c r="E11">
        <v>2.15E-3</v>
      </c>
      <c r="F11">
        <v>2E-3</v>
      </c>
      <c r="G11">
        <v>8.5999999999999998E-4</v>
      </c>
      <c r="H11">
        <v>8.1999999999999998E-4</v>
      </c>
      <c r="I11">
        <v>4.6299999999999996E-3</v>
      </c>
      <c r="J11">
        <v>1.5200000000000001E-3</v>
      </c>
      <c r="K11">
        <v>1.1181000000000001</v>
      </c>
      <c r="L11">
        <v>0.29509999999999997</v>
      </c>
      <c r="M11">
        <v>2.65E-3</v>
      </c>
      <c r="N11">
        <v>2.6199999999999999E-3</v>
      </c>
      <c r="O11">
        <v>1.06E-3</v>
      </c>
      <c r="P11">
        <v>-0.38679999999999998</v>
      </c>
      <c r="Q11">
        <v>3.2256999999999998</v>
      </c>
      <c r="R11">
        <v>1.8E-3</v>
      </c>
      <c r="S11">
        <v>1.4970000000000001E-2</v>
      </c>
      <c r="T11">
        <v>4.9199999999999999E-3</v>
      </c>
    </row>
    <row r="12" spans="1:20" x14ac:dyDescent="0.15">
      <c r="A12" t="s">
        <v>28</v>
      </c>
      <c r="B12">
        <v>3.3</v>
      </c>
      <c r="C12">
        <v>0.66400000000000003</v>
      </c>
      <c r="D12">
        <v>8.8290000000000006</v>
      </c>
      <c r="E12">
        <v>-2.1000000000000001E-4</v>
      </c>
      <c r="F12">
        <v>1.81E-3</v>
      </c>
      <c r="G12">
        <v>8.0999999999999996E-4</v>
      </c>
      <c r="H12">
        <v>2.8500000000000001E-3</v>
      </c>
      <c r="I12">
        <v>3.9399999999999999E-3</v>
      </c>
      <c r="J12">
        <v>1.3699999999999999E-3</v>
      </c>
      <c r="K12">
        <v>1.1220000000000001</v>
      </c>
      <c r="L12">
        <v>0.29449999999999998</v>
      </c>
      <c r="M12">
        <v>5.9999999999999995E-4</v>
      </c>
      <c r="N12">
        <v>2.3400000000000001E-3</v>
      </c>
      <c r="O12">
        <v>1E-3</v>
      </c>
      <c r="P12">
        <v>-0.38269999999999998</v>
      </c>
      <c r="Q12">
        <v>3.1311</v>
      </c>
      <c r="R12">
        <v>8.9999999999999993E-3</v>
      </c>
      <c r="S12">
        <v>1.2359999999999999E-2</v>
      </c>
      <c r="T12">
        <v>4.3099999999999996E-3</v>
      </c>
    </row>
    <row r="13" spans="1:20" x14ac:dyDescent="0.15">
      <c r="A13" t="s">
        <v>28</v>
      </c>
      <c r="B13">
        <v>3.4</v>
      </c>
      <c r="C13">
        <v>0.68540000000000001</v>
      </c>
      <c r="D13">
        <v>8.9860000000000007</v>
      </c>
      <c r="E13">
        <v>-5.4000000000000001E-4</v>
      </c>
      <c r="F13">
        <v>2.16E-3</v>
      </c>
      <c r="G13">
        <v>5.6999999999999998E-4</v>
      </c>
      <c r="H13">
        <v>-2.8500000000000001E-3</v>
      </c>
      <c r="I13">
        <v>4.7000000000000002E-3</v>
      </c>
      <c r="J13">
        <v>1.7899999999999999E-3</v>
      </c>
      <c r="K13">
        <v>1.1294</v>
      </c>
      <c r="L13">
        <v>0.29459999999999997</v>
      </c>
      <c r="M13">
        <v>-1.4499999999999999E-3</v>
      </c>
      <c r="N13">
        <v>2.81E-3</v>
      </c>
      <c r="O13">
        <v>8.3000000000000001E-4</v>
      </c>
      <c r="P13">
        <v>-0.37980000000000003</v>
      </c>
      <c r="Q13">
        <v>3.0539000000000001</v>
      </c>
      <c r="R13">
        <v>-8.4899999999999993E-3</v>
      </c>
      <c r="S13">
        <v>1.439E-2</v>
      </c>
      <c r="T13">
        <v>5.4599999999999996E-3</v>
      </c>
    </row>
    <row r="14" spans="1:20" x14ac:dyDescent="0.15">
      <c r="A14" t="s">
        <v>28</v>
      </c>
      <c r="B14">
        <v>3.5</v>
      </c>
      <c r="C14">
        <v>0.70369999999999999</v>
      </c>
      <c r="D14">
        <v>9.0960000000000001</v>
      </c>
      <c r="E14">
        <v>4.62E-3</v>
      </c>
      <c r="F14">
        <v>2.7000000000000001E-3</v>
      </c>
      <c r="G14">
        <v>6.6E-4</v>
      </c>
      <c r="H14">
        <v>1.5E-3</v>
      </c>
      <c r="I14">
        <v>5.8399999999999997E-3</v>
      </c>
      <c r="J14">
        <v>2.3600000000000001E-3</v>
      </c>
      <c r="K14">
        <v>1.1375999999999999</v>
      </c>
      <c r="L14">
        <v>0.29409999999999997</v>
      </c>
      <c r="M14">
        <v>5.7000000000000002E-3</v>
      </c>
      <c r="N14">
        <v>3.5200000000000001E-3</v>
      </c>
      <c r="O14">
        <v>1.0300000000000001E-3</v>
      </c>
      <c r="P14">
        <v>-0.37709999999999999</v>
      </c>
      <c r="Q14">
        <v>2.9895</v>
      </c>
      <c r="R14">
        <v>2.7499999999999998E-3</v>
      </c>
      <c r="S14">
        <v>1.7500000000000002E-2</v>
      </c>
      <c r="T14">
        <v>7.0600000000000003E-3</v>
      </c>
    </row>
    <row r="15" spans="1:20" x14ac:dyDescent="0.15">
      <c r="A15" t="s">
        <v>28</v>
      </c>
      <c r="B15">
        <v>3.6</v>
      </c>
      <c r="C15">
        <v>0.71970000000000001</v>
      </c>
      <c r="D15">
        <v>9.1709999999999994</v>
      </c>
      <c r="E15">
        <v>-5.9999999999999995E-4</v>
      </c>
      <c r="F15">
        <v>3.6800000000000001E-3</v>
      </c>
      <c r="G15">
        <v>6.4999999999999997E-4</v>
      </c>
      <c r="H15">
        <v>-1.3339999999999999E-2</v>
      </c>
      <c r="I15">
        <v>7.8600000000000007E-3</v>
      </c>
      <c r="J15">
        <v>3.7299999999999998E-3</v>
      </c>
      <c r="K15">
        <v>1.1464000000000001</v>
      </c>
      <c r="L15">
        <v>0.29330000000000001</v>
      </c>
      <c r="M15">
        <v>-4.5999999999999999E-3</v>
      </c>
      <c r="N15">
        <v>4.7999999999999996E-3</v>
      </c>
      <c r="O15">
        <v>1.32E-3</v>
      </c>
      <c r="P15">
        <v>-0.3745</v>
      </c>
      <c r="Q15">
        <v>2.9331999999999998</v>
      </c>
      <c r="R15">
        <v>-3.891E-2</v>
      </c>
      <c r="S15">
        <v>2.3089999999999999E-2</v>
      </c>
      <c r="T15">
        <v>1.094E-2</v>
      </c>
    </row>
    <row r="16" spans="1:20" x14ac:dyDescent="0.15">
      <c r="A16" t="s">
        <v>28</v>
      </c>
      <c r="B16">
        <v>3.7</v>
      </c>
      <c r="C16">
        <v>0.7339</v>
      </c>
      <c r="D16">
        <v>9.2240000000000002</v>
      </c>
      <c r="E16">
        <v>7.6E-3</v>
      </c>
      <c r="F16">
        <v>6.45E-3</v>
      </c>
      <c r="G16">
        <v>1.01E-3</v>
      </c>
      <c r="H16">
        <v>1.6000000000000001E-3</v>
      </c>
      <c r="I16">
        <v>1.363E-2</v>
      </c>
      <c r="J16">
        <v>6.2700000000000004E-3</v>
      </c>
      <c r="K16">
        <v>1.1540999999999999</v>
      </c>
      <c r="L16">
        <v>0.29220000000000002</v>
      </c>
      <c r="M16">
        <v>9.2399999999999999E-3</v>
      </c>
      <c r="N16">
        <v>8.4399999999999996E-3</v>
      </c>
      <c r="O16">
        <v>2.1700000000000001E-3</v>
      </c>
      <c r="P16">
        <v>-0.37140000000000001</v>
      </c>
      <c r="Q16">
        <v>2.8776000000000002</v>
      </c>
      <c r="R16">
        <v>1.7700000000000001E-3</v>
      </c>
      <c r="S16">
        <v>3.9300000000000002E-2</v>
      </c>
      <c r="T16">
        <v>1.804E-2</v>
      </c>
    </row>
    <row r="17" spans="1:20" x14ac:dyDescent="0.15">
      <c r="A17" t="s">
        <v>28</v>
      </c>
      <c r="B17">
        <v>3.77</v>
      </c>
      <c r="C17">
        <v>0.74129999999999996</v>
      </c>
      <c r="D17">
        <v>9.2159999999999993</v>
      </c>
      <c r="E17">
        <v>1.8689999999999998E-2</v>
      </c>
      <c r="F17">
        <v>3.703E-2</v>
      </c>
      <c r="G17">
        <v>1.6800000000000001E-3</v>
      </c>
      <c r="H17">
        <v>-7.6E-3</v>
      </c>
      <c r="I17">
        <v>7.4230000000000004E-2</v>
      </c>
      <c r="J17">
        <v>1.2869999999999999E-2</v>
      </c>
      <c r="K17">
        <v>1.1636</v>
      </c>
      <c r="L17">
        <v>0.2913</v>
      </c>
      <c r="M17">
        <v>1.9539999999999998E-2</v>
      </c>
      <c r="N17">
        <v>4.8210000000000003E-2</v>
      </c>
      <c r="O17">
        <v>4.2300000000000003E-3</v>
      </c>
      <c r="P17">
        <v>-0.37059999999999998</v>
      </c>
      <c r="Q17">
        <v>2.8601000000000001</v>
      </c>
      <c r="R17">
        <v>-2.8649999999999998E-2</v>
      </c>
      <c r="S17">
        <v>0.21274000000000001</v>
      </c>
      <c r="T17">
        <v>3.6819999999999999E-2</v>
      </c>
    </row>
    <row r="19" spans="1:20" x14ac:dyDescent="0.15">
      <c r="A19" s="6" t="s">
        <v>29</v>
      </c>
      <c r="B19" s="6" t="s">
        <v>30</v>
      </c>
      <c r="C19" s="6" t="s">
        <v>31</v>
      </c>
      <c r="D19" s="6" t="s">
        <v>32</v>
      </c>
      <c r="E19" s="6" t="s">
        <v>33</v>
      </c>
      <c r="F19" s="6" t="s">
        <v>34</v>
      </c>
      <c r="G19" s="6" t="s">
        <v>35</v>
      </c>
      <c r="H19" s="6" t="s">
        <v>33</v>
      </c>
      <c r="I19" s="6" t="s">
        <v>36</v>
      </c>
      <c r="J19" s="6" t="s">
        <v>37</v>
      </c>
      <c r="K19" s="6" t="s">
        <v>38</v>
      </c>
      <c r="L19" s="6" t="s">
        <v>39</v>
      </c>
      <c r="M19" s="6" t="s">
        <v>33</v>
      </c>
      <c r="N19" s="6" t="s">
        <v>34</v>
      </c>
      <c r="O19" s="6" t="s">
        <v>40</v>
      </c>
      <c r="P19" s="6" t="s">
        <v>41</v>
      </c>
      <c r="Q19" s="6" t="s">
        <v>42</v>
      </c>
      <c r="R19" s="6" t="s">
        <v>33</v>
      </c>
      <c r="S19" s="6" t="s">
        <v>43</v>
      </c>
    </row>
    <row r="20" spans="1:20" x14ac:dyDescent="0.15">
      <c r="A20" s="6">
        <v>2.39</v>
      </c>
      <c r="B20" s="7">
        <v>0.4365</v>
      </c>
      <c r="C20" s="7">
        <v>6.5469999999999997</v>
      </c>
      <c r="D20" s="7">
        <v>-6.4999999999999997E-3</v>
      </c>
      <c r="E20" s="7">
        <v>6.1399999999999996E-3</v>
      </c>
      <c r="F20" s="7">
        <v>1.1800000000000001E-3</v>
      </c>
      <c r="G20" s="7">
        <v>8.9300000000000004E-3</v>
      </c>
      <c r="H20" s="7">
        <v>1.5440000000000001E-2</v>
      </c>
      <c r="I20" s="7">
        <v>7.5000000000000002E-4</v>
      </c>
      <c r="J20" s="7">
        <v>1.0775999999999999</v>
      </c>
      <c r="K20" s="7">
        <v>0.28639999999999999</v>
      </c>
      <c r="L20" s="7">
        <v>-4.45E-3</v>
      </c>
      <c r="M20" s="7">
        <v>7.9600000000000001E-3</v>
      </c>
      <c r="N20" s="7">
        <v>1.2899999999999999E-3</v>
      </c>
      <c r="O20" s="7">
        <v>-0.4148</v>
      </c>
      <c r="P20" s="7">
        <v>4.3559999999999999</v>
      </c>
      <c r="Q20" s="7">
        <v>4.1599999999999998E-2</v>
      </c>
      <c r="R20" s="7">
        <v>6.7309999999999995E-2</v>
      </c>
      <c r="S20" s="7">
        <v>3.3E-3</v>
      </c>
    </row>
    <row r="21" spans="1:20" x14ac:dyDescent="0.15">
      <c r="A21" s="6">
        <v>2.5</v>
      </c>
      <c r="B21" s="7">
        <v>0.46379999999999999</v>
      </c>
      <c r="C21" s="7">
        <v>6.8630000000000004</v>
      </c>
      <c r="D21" s="7">
        <v>-1.205E-2</v>
      </c>
      <c r="E21" s="7">
        <v>7.2500000000000004E-3</v>
      </c>
      <c r="F21" s="7">
        <v>1.6000000000000001E-3</v>
      </c>
      <c r="G21" s="7">
        <v>3.4099999999999998E-3</v>
      </c>
      <c r="H21" s="7">
        <v>1.8079999999999999E-2</v>
      </c>
      <c r="I21" s="7">
        <v>1.1900000000000001E-3</v>
      </c>
      <c r="J21" s="7">
        <v>1.0811999999999999</v>
      </c>
      <c r="K21" s="7">
        <v>0.28770000000000001</v>
      </c>
      <c r="L21" s="7">
        <v>-1.205E-2</v>
      </c>
      <c r="M21" s="7">
        <v>9.41E-3</v>
      </c>
      <c r="N21" s="7">
        <v>1.7600000000000001E-3</v>
      </c>
      <c r="O21" s="7">
        <v>-0.41049999999999998</v>
      </c>
      <c r="P21" s="7">
        <v>4.1475</v>
      </c>
      <c r="Q21" s="7">
        <v>1.9089999999999999E-2</v>
      </c>
      <c r="R21" s="7">
        <v>7.5029999999999999E-2</v>
      </c>
      <c r="S21" s="7">
        <v>4.96E-3</v>
      </c>
    </row>
    <row r="22" spans="1:20" x14ac:dyDescent="0.15">
      <c r="A22" s="6">
        <v>2.6</v>
      </c>
      <c r="B22" s="7">
        <v>0.49070000000000003</v>
      </c>
      <c r="C22" s="7">
        <v>7.1680000000000001</v>
      </c>
      <c r="D22" s="7">
        <v>8.7500000000000008E-3</v>
      </c>
      <c r="E22" s="7">
        <v>7.9100000000000004E-3</v>
      </c>
      <c r="F22" s="7">
        <v>1.64E-3</v>
      </c>
      <c r="G22" s="7">
        <v>-3.7870000000000001E-2</v>
      </c>
      <c r="H22" s="7">
        <v>1.984E-2</v>
      </c>
      <c r="I22" s="7">
        <v>1.6800000000000001E-3</v>
      </c>
      <c r="J22" s="7">
        <v>1.0847</v>
      </c>
      <c r="K22" s="7">
        <v>0.2893</v>
      </c>
      <c r="L22" s="7">
        <v>-1.47E-3</v>
      </c>
      <c r="M22" s="7">
        <v>1.0319999999999999E-2</v>
      </c>
      <c r="N22" s="7">
        <v>1.8500000000000001E-3</v>
      </c>
      <c r="O22" s="7">
        <v>-0.40660000000000002</v>
      </c>
      <c r="P22" s="7">
        <v>3.9691000000000001</v>
      </c>
      <c r="Q22" s="7">
        <v>-0.15387999999999999</v>
      </c>
      <c r="R22" s="7">
        <v>7.8810000000000005E-2</v>
      </c>
      <c r="S22" s="7">
        <v>6.7000000000000002E-3</v>
      </c>
    </row>
    <row r="23" spans="1:20" x14ac:dyDescent="0.15">
      <c r="A23" s="6">
        <v>2.7</v>
      </c>
      <c r="B23" s="7">
        <v>0.51160000000000005</v>
      </c>
      <c r="C23" s="7">
        <v>7.375</v>
      </c>
      <c r="D23" s="7">
        <v>-5.1599999999999997E-3</v>
      </c>
      <c r="E23" s="7">
        <v>5.7600000000000004E-3</v>
      </c>
      <c r="F23" s="7">
        <v>1.25E-3</v>
      </c>
      <c r="G23" s="7">
        <v>-3.8E-3</v>
      </c>
      <c r="H23" s="7">
        <v>1.5129999999999999E-2</v>
      </c>
      <c r="I23" s="7">
        <v>2.7599999999999999E-3</v>
      </c>
      <c r="J23" s="7">
        <v>1.0911</v>
      </c>
      <c r="K23" s="7">
        <v>0.28939999999999999</v>
      </c>
      <c r="L23" s="7">
        <v>-6.7299999999999999E-3</v>
      </c>
      <c r="M23" s="7">
        <v>7.6600000000000001E-3</v>
      </c>
      <c r="N23" s="7">
        <v>1.58E-3</v>
      </c>
      <c r="O23" s="7">
        <v>-0.4037</v>
      </c>
      <c r="P23" s="7">
        <v>3.8409</v>
      </c>
      <c r="Q23" s="7">
        <v>-1.251E-2</v>
      </c>
      <c r="R23" s="7">
        <v>5.8139999999999997E-2</v>
      </c>
      <c r="S23" s="7">
        <v>1.06E-2</v>
      </c>
    </row>
    <row r="24" spans="1:20" x14ac:dyDescent="0.15">
      <c r="A24" s="6">
        <v>2.8</v>
      </c>
      <c r="B24" s="7">
        <v>0.53559999999999997</v>
      </c>
      <c r="C24" s="7">
        <v>7.6239999999999997</v>
      </c>
      <c r="D24" s="7">
        <v>-5.5300000000000002E-3</v>
      </c>
      <c r="E24" s="7">
        <v>6.1500000000000001E-3</v>
      </c>
      <c r="F24" s="7">
        <v>1.1199999999999999E-3</v>
      </c>
      <c r="G24" s="7">
        <v>1.533E-2</v>
      </c>
      <c r="H24" s="7">
        <v>1.6129999999999999E-2</v>
      </c>
      <c r="I24" s="7">
        <v>2.7499999999999998E-3</v>
      </c>
      <c r="J24" s="7">
        <v>1.0949</v>
      </c>
      <c r="K24" s="7">
        <v>0.29010000000000002</v>
      </c>
      <c r="L24" s="7">
        <v>-1.6100000000000001E-3</v>
      </c>
      <c r="M24" s="7">
        <v>8.2000000000000007E-3</v>
      </c>
      <c r="N24" s="7">
        <v>1.47E-3</v>
      </c>
      <c r="O24" s="7">
        <v>-0.39989999999999998</v>
      </c>
      <c r="P24" s="7">
        <v>3.6968999999999999</v>
      </c>
      <c r="Q24" s="7">
        <v>5.8869999999999999E-2</v>
      </c>
      <c r="R24" s="7">
        <v>5.9679999999999997E-2</v>
      </c>
      <c r="S24" s="7">
        <v>1.0160000000000001E-2</v>
      </c>
    </row>
    <row r="25" spans="1:20" x14ac:dyDescent="0.15">
      <c r="A25" s="6">
        <v>2.9</v>
      </c>
      <c r="B25" s="7">
        <v>0.56120000000000003</v>
      </c>
      <c r="C25" s="7">
        <v>7.883</v>
      </c>
      <c r="D25" s="7">
        <v>1.332E-2</v>
      </c>
      <c r="E25" s="7">
        <v>6.8399999999999997E-3</v>
      </c>
      <c r="F25" s="7">
        <v>1.09E-3</v>
      </c>
      <c r="G25" s="7">
        <v>-1.8200000000000001E-2</v>
      </c>
      <c r="H25" s="7">
        <v>1.8169999999999999E-2</v>
      </c>
      <c r="I25" s="7">
        <v>3.3E-3</v>
      </c>
      <c r="J25" s="7">
        <v>1.0996999999999999</v>
      </c>
      <c r="K25" s="7">
        <v>0.29110000000000003</v>
      </c>
      <c r="L25" s="7">
        <v>9.3600000000000003E-3</v>
      </c>
      <c r="M25" s="7">
        <v>9.1999999999999998E-3</v>
      </c>
      <c r="N25" s="7">
        <v>1.5399999999999999E-3</v>
      </c>
      <c r="O25" s="7">
        <v>-0.39629999999999999</v>
      </c>
      <c r="P25" s="7">
        <v>3.5644999999999998</v>
      </c>
      <c r="Q25" s="7">
        <v>-7.0150000000000004E-2</v>
      </c>
      <c r="R25" s="7">
        <v>6.4829999999999999E-2</v>
      </c>
      <c r="S25" s="7">
        <v>1.1780000000000001E-2</v>
      </c>
    </row>
    <row r="26" spans="1:20" x14ac:dyDescent="0.15">
      <c r="A26" s="6">
        <v>3</v>
      </c>
      <c r="B26" s="7">
        <v>0.58789999999999998</v>
      </c>
      <c r="C26" s="7">
        <v>8.1479999999999997</v>
      </c>
      <c r="D26" s="7">
        <v>-2.32E-3</v>
      </c>
      <c r="E26" s="7">
        <v>7.7099999999999998E-3</v>
      </c>
      <c r="F26" s="7">
        <v>1.1800000000000001E-3</v>
      </c>
      <c r="G26" s="7">
        <v>-6.5700000000000003E-3</v>
      </c>
      <c r="H26" s="7">
        <v>2.0299999999999999E-2</v>
      </c>
      <c r="I26" s="7">
        <v>5.0499999999999998E-3</v>
      </c>
      <c r="J26" s="7">
        <v>1.1045</v>
      </c>
      <c r="K26" s="7">
        <v>0.29220000000000002</v>
      </c>
      <c r="L26" s="7">
        <v>-4.4799999999999996E-3</v>
      </c>
      <c r="M26" s="7">
        <v>1.038E-2</v>
      </c>
      <c r="N26" s="7">
        <v>1.97E-3</v>
      </c>
      <c r="O26" s="7">
        <v>-0.39269999999999999</v>
      </c>
      <c r="P26" s="7">
        <v>3.4388999999999998</v>
      </c>
      <c r="Q26" s="7">
        <v>-2.1669999999999998E-2</v>
      </c>
      <c r="R26" s="7">
        <v>6.9879999999999998E-2</v>
      </c>
      <c r="S26" s="7">
        <v>1.737E-2</v>
      </c>
    </row>
    <row r="27" spans="1:20" x14ac:dyDescent="0.15">
      <c r="A27" s="6">
        <v>3.1</v>
      </c>
      <c r="B27" s="7">
        <v>0.6159</v>
      </c>
      <c r="C27" s="7">
        <v>8.4209999999999994</v>
      </c>
      <c r="D27" s="7">
        <v>3.8899999999999998E-3</v>
      </c>
      <c r="E27" s="7">
        <v>4.2700000000000004E-3</v>
      </c>
      <c r="F27" s="7">
        <v>8.7000000000000001E-4</v>
      </c>
      <c r="G27" s="7">
        <v>5.2399999999999999E-3</v>
      </c>
      <c r="H27" s="7">
        <v>8.7100000000000007E-3</v>
      </c>
      <c r="I27" s="7">
        <v>2.48E-3</v>
      </c>
      <c r="J27" s="7">
        <v>1.1093</v>
      </c>
      <c r="K27" s="7">
        <v>0.29360000000000003</v>
      </c>
      <c r="L27" s="7">
        <v>5.8599999999999998E-3</v>
      </c>
      <c r="M27" s="7">
        <v>5.3800000000000002E-3</v>
      </c>
      <c r="N27" s="7">
        <v>1.2099999999999999E-3</v>
      </c>
      <c r="O27" s="7">
        <v>-0.3891</v>
      </c>
      <c r="P27" s="7">
        <v>3.3188</v>
      </c>
      <c r="Q27" s="7">
        <v>1.5859999999999999E-2</v>
      </c>
      <c r="R27" s="7">
        <v>2.895E-2</v>
      </c>
      <c r="S27" s="7">
        <v>8.2199999999999999E-3</v>
      </c>
    </row>
    <row r="28" spans="1:20" x14ac:dyDescent="0.15">
      <c r="A28" s="6">
        <v>3.2</v>
      </c>
      <c r="B28" s="7">
        <v>0.64410000000000001</v>
      </c>
      <c r="C28" s="7">
        <v>8.6720000000000006</v>
      </c>
      <c r="D28" s="7">
        <v>7.3099999999999997E-3</v>
      </c>
      <c r="E28" s="7">
        <v>4.3600000000000002E-3</v>
      </c>
      <c r="F28" s="7">
        <v>8.5999999999999998E-4</v>
      </c>
      <c r="G28" s="7">
        <v>-4.0999999999999999E-4</v>
      </c>
      <c r="H28" s="7">
        <v>8.7299999999999999E-3</v>
      </c>
      <c r="I28" s="7">
        <v>1.5499999999999999E-3</v>
      </c>
      <c r="J28" s="7">
        <v>1.1184000000000001</v>
      </c>
      <c r="K28" s="7">
        <v>0.29509999999999997</v>
      </c>
      <c r="L28" s="7">
        <v>8.0599999999999995E-3</v>
      </c>
      <c r="M28" s="7">
        <v>5.5199999999999997E-3</v>
      </c>
      <c r="N28" s="7">
        <v>1.06E-3</v>
      </c>
      <c r="O28" s="7">
        <v>-0.38690000000000002</v>
      </c>
      <c r="P28" s="7">
        <v>3.2271000000000001</v>
      </c>
      <c r="Q28" s="7">
        <v>-4.1399999999999996E-3</v>
      </c>
      <c r="R28" s="7">
        <v>2.8230000000000002E-2</v>
      </c>
      <c r="S28" s="7">
        <v>5.0200000000000002E-3</v>
      </c>
    </row>
    <row r="29" spans="1:20" x14ac:dyDescent="0.15">
      <c r="A29" s="6">
        <v>3.3</v>
      </c>
      <c r="B29" s="7">
        <v>0.66359999999999997</v>
      </c>
      <c r="C29" s="7">
        <v>8.8249999999999993</v>
      </c>
      <c r="D29" s="7">
        <v>-4.4000000000000002E-4</v>
      </c>
      <c r="E29" s="7">
        <v>3.8999999999999998E-3</v>
      </c>
      <c r="F29" s="7">
        <v>8.0999999999999996E-4</v>
      </c>
      <c r="G29" s="7">
        <v>1.312E-2</v>
      </c>
      <c r="H29" s="7">
        <v>7.9600000000000001E-3</v>
      </c>
      <c r="I29" s="7">
        <v>1.4400000000000001E-3</v>
      </c>
      <c r="J29" s="7">
        <v>1.1221000000000001</v>
      </c>
      <c r="K29" s="7">
        <v>0.29449999999999998</v>
      </c>
      <c r="L29" s="7">
        <v>3.3700000000000002E-3</v>
      </c>
      <c r="M29" s="7">
        <v>4.96E-3</v>
      </c>
      <c r="N29" s="7">
        <v>1E-3</v>
      </c>
      <c r="O29" s="7">
        <v>-0.38279999999999997</v>
      </c>
      <c r="P29" s="7">
        <v>3.1320999999999999</v>
      </c>
      <c r="Q29" s="7">
        <v>4.1270000000000001E-2</v>
      </c>
      <c r="R29" s="7">
        <v>2.496E-2</v>
      </c>
      <c r="S29" s="7">
        <v>4.5199999999999997E-3</v>
      </c>
    </row>
    <row r="30" spans="1:20" x14ac:dyDescent="0.15">
      <c r="A30" s="6">
        <v>3.4</v>
      </c>
      <c r="B30" s="7">
        <v>0.68500000000000005</v>
      </c>
      <c r="C30" s="7">
        <v>8.9809999999999999</v>
      </c>
      <c r="D30" s="7">
        <v>9.5E-4</v>
      </c>
      <c r="E30" s="7">
        <v>4.6499999999999996E-3</v>
      </c>
      <c r="F30" s="7">
        <v>5.6999999999999998E-4</v>
      </c>
      <c r="G30" s="7">
        <v>-4.6600000000000001E-3</v>
      </c>
      <c r="H30" s="7">
        <v>9.5099999999999994E-3</v>
      </c>
      <c r="I30" s="7">
        <v>1.8E-3</v>
      </c>
      <c r="J30" s="7">
        <v>1.1294999999999999</v>
      </c>
      <c r="K30" s="7">
        <v>0.29449999999999998</v>
      </c>
      <c r="L30" s="7">
        <v>-2.9999999999999997E-4</v>
      </c>
      <c r="M30" s="7">
        <v>5.9500000000000004E-3</v>
      </c>
      <c r="N30" s="7">
        <v>8.3000000000000001E-4</v>
      </c>
      <c r="O30" s="7">
        <v>-0.37980000000000003</v>
      </c>
      <c r="P30" s="7">
        <v>3.0550000000000002</v>
      </c>
      <c r="Q30" s="7">
        <v>-1.46E-2</v>
      </c>
      <c r="R30" s="7">
        <v>2.911E-2</v>
      </c>
      <c r="S30" s="7">
        <v>5.4999999999999997E-3</v>
      </c>
    </row>
    <row r="31" spans="1:20" x14ac:dyDescent="0.15">
      <c r="A31" s="6">
        <v>3.5</v>
      </c>
      <c r="B31" s="7">
        <v>0.70330000000000004</v>
      </c>
      <c r="C31" s="7">
        <v>9.0909999999999993</v>
      </c>
      <c r="D31" s="7">
        <v>1.005E-2</v>
      </c>
      <c r="E31" s="7">
        <v>5.79E-3</v>
      </c>
      <c r="F31" s="7">
        <v>6.6E-4</v>
      </c>
      <c r="G31" s="7">
        <v>3.5200000000000001E-3</v>
      </c>
      <c r="H31" s="7">
        <v>1.189E-2</v>
      </c>
      <c r="I31" s="7">
        <v>2.3800000000000002E-3</v>
      </c>
      <c r="J31" s="7">
        <v>1.1376999999999999</v>
      </c>
      <c r="K31" s="7">
        <v>0.29399999999999998</v>
      </c>
      <c r="L31" s="7">
        <v>1.247E-2</v>
      </c>
      <c r="M31" s="7">
        <v>7.4599999999999996E-3</v>
      </c>
      <c r="N31" s="7">
        <v>1.0300000000000001E-3</v>
      </c>
      <c r="O31" s="7">
        <v>-0.37709999999999999</v>
      </c>
      <c r="P31" s="7">
        <v>2.9904999999999999</v>
      </c>
      <c r="Q31" s="7">
        <v>6.7499999999999999E-3</v>
      </c>
      <c r="R31" s="7">
        <v>3.5630000000000002E-2</v>
      </c>
      <c r="S31" s="7">
        <v>7.1199999999999996E-3</v>
      </c>
    </row>
    <row r="32" spans="1:20" x14ac:dyDescent="0.15">
      <c r="A32" s="6">
        <v>3.6</v>
      </c>
      <c r="B32" s="7">
        <v>0.71940000000000004</v>
      </c>
      <c r="C32" s="7">
        <v>9.1669999999999998</v>
      </c>
      <c r="D32" s="7">
        <v>1.73E-3</v>
      </c>
      <c r="E32" s="7">
        <v>7.8600000000000007E-3</v>
      </c>
      <c r="F32" s="7">
        <v>6.4999999999999997E-4</v>
      </c>
      <c r="G32" s="7">
        <v>-2.9049999999999999E-2</v>
      </c>
      <c r="H32" s="7">
        <v>1.617E-2</v>
      </c>
      <c r="I32" s="7">
        <v>4.0200000000000001E-3</v>
      </c>
      <c r="J32" s="7">
        <v>1.1465000000000001</v>
      </c>
      <c r="K32" s="7">
        <v>0.29330000000000001</v>
      </c>
      <c r="L32" s="7">
        <v>-6.5300000000000002E-3</v>
      </c>
      <c r="M32" s="7">
        <v>1.0189999999999999E-2</v>
      </c>
      <c r="N32" s="7">
        <v>1.39E-3</v>
      </c>
      <c r="O32" s="7">
        <v>-0.3745</v>
      </c>
      <c r="P32" s="7">
        <v>2.9340999999999999</v>
      </c>
      <c r="Q32" s="7">
        <v>-8.5879999999999998E-2</v>
      </c>
      <c r="R32" s="7">
        <v>4.7539999999999999E-2</v>
      </c>
      <c r="S32" s="7">
        <v>1.1780000000000001E-2</v>
      </c>
    </row>
    <row r="33" spans="1:19" x14ac:dyDescent="0.15">
      <c r="A33" s="6">
        <v>3.7</v>
      </c>
      <c r="B33" s="7">
        <v>0.7339</v>
      </c>
      <c r="C33" s="7">
        <v>9.2210000000000001</v>
      </c>
      <c r="D33" s="7">
        <v>8.9099999999999995E-3</v>
      </c>
      <c r="E33" s="7">
        <v>1.358E-2</v>
      </c>
      <c r="F33" s="7">
        <v>1.0200000000000001E-3</v>
      </c>
      <c r="G33" s="7">
        <v>2.452E-2</v>
      </c>
      <c r="H33" s="7">
        <v>2.7949999999999999E-2</v>
      </c>
      <c r="I33" s="7">
        <v>1.627E-2</v>
      </c>
      <c r="J33" s="7">
        <v>1.1549</v>
      </c>
      <c r="K33" s="7">
        <v>0.29220000000000002</v>
      </c>
      <c r="L33" s="7">
        <v>1.746E-2</v>
      </c>
      <c r="M33" s="7">
        <v>1.7680000000000001E-2</v>
      </c>
      <c r="N33" s="7">
        <v>4.8999999999999998E-3</v>
      </c>
      <c r="O33" s="7">
        <v>-0.37169999999999997</v>
      </c>
      <c r="P33" s="7">
        <v>2.8809999999999998</v>
      </c>
      <c r="Q33" s="7">
        <v>6.7330000000000001E-2</v>
      </c>
      <c r="R33" s="7">
        <v>8.0680000000000002E-2</v>
      </c>
      <c r="S33" s="7">
        <v>4.6879999999999998E-2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CE404F-C740-9742-B812-A160FA594F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g1F1he3_2025_dis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Cocuzza, Christopher</cp:lastModifiedBy>
  <cp:revision>9</cp:revision>
  <dcterms:created xsi:type="dcterms:W3CDTF">2015-05-26T17:55:50Z</dcterms:created>
  <dcterms:modified xsi:type="dcterms:W3CDTF">2026-04-10T19:24:21Z</dcterms:modified>
  <dc:language>en-US</dc:language>
</cp:coreProperties>
</file>